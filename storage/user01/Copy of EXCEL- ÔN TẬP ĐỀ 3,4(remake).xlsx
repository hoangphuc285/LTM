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7812" yWindow="0" windowWidth="15324" windowHeight="12336" activeTab="1"/>
  </bookViews>
  <sheets>
    <sheet name="đề 3" sheetId="1" r:id="rId1"/>
    <sheet name="đề 4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2" l="1"/>
  <c r="D4" i="2" l="1"/>
  <c r="D5" i="2"/>
  <c r="D6" i="2"/>
  <c r="D7" i="2"/>
  <c r="D3" i="2"/>
  <c r="F4" i="2" l="1"/>
  <c r="F5" i="2"/>
  <c r="F6" i="2"/>
  <c r="F7" i="2"/>
  <c r="F8" i="2"/>
  <c r="F3" i="2"/>
  <c r="C4" i="2"/>
  <c r="C5" i="2"/>
  <c r="C6" i="2"/>
  <c r="C7" i="2"/>
  <c r="C8" i="2"/>
  <c r="C3" i="2"/>
  <c r="D16" i="1"/>
  <c r="G4" i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3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<sst xmlns="http://schemas.openxmlformats.org/spreadsheetml/2006/main" count="52" uniqueCount="48">
  <si>
    <t>BẢNG BÁO CÁO DOANH THU THÁNG 05/2025</t>
  </si>
  <si>
    <t>STT</t>
  </si>
  <si>
    <t>MÃ
HÀNG</t>
  </si>
  <si>
    <t>TÊN
HÀNG</t>
  </si>
  <si>
    <t>SỐ
LƯỢNG</t>
  </si>
  <si>
    <t>ĐƠN
GIÁ</t>
  </si>
  <si>
    <t>GIẢM
GIÁ</t>
  </si>
  <si>
    <t>THÀNH
TIỀN</t>
  </si>
  <si>
    <t>CA1-N</t>
  </si>
  <si>
    <t>GA2-X</t>
  </si>
  <si>
    <t>DU1-N</t>
  </si>
  <si>
    <t>CA2-X</t>
  </si>
  <si>
    <t>GA1-N</t>
  </si>
  <si>
    <t>DU2-X</t>
  </si>
  <si>
    <t>BẢNG 1</t>
  </si>
  <si>
    <t>MÃ HÀNG</t>
  </si>
  <si>
    <t>CA</t>
  </si>
  <si>
    <t>GA</t>
  </si>
  <si>
    <t>DU</t>
  </si>
  <si>
    <t>Đường</t>
  </si>
  <si>
    <t>Gạo</t>
  </si>
  <si>
    <t>Cà phê</t>
  </si>
  <si>
    <t xml:space="preserve">                  TÊN
                HÀNG                                                                                                                                                                                                            NHẬP-XUẤT</t>
  </si>
  <si>
    <t>X</t>
  </si>
  <si>
    <t>N</t>
  </si>
  <si>
    <t>Số lượng TÊN HÀNG là Gạo</t>
  </si>
  <si>
    <t>BẢNG THÔNG TIN BÁN XE</t>
  </si>
  <si>
    <t>MÃ HÓA ĐƠN</t>
  </si>
  <si>
    <t>TÊN HÃNG</t>
  </si>
  <si>
    <t>ĐƠN GIÁ</t>
  </si>
  <si>
    <t>NGÀY BÁN</t>
  </si>
  <si>
    <t>SỐ LƯỢNG</t>
  </si>
  <si>
    <t>THÀNH TIỀN</t>
  </si>
  <si>
    <t>125-HD-12</t>
  </si>
  <si>
    <t>110-YA-22</t>
  </si>
  <si>
    <t>150-YA-25</t>
  </si>
  <si>
    <t>110-SU-20</t>
  </si>
  <si>
    <t>150-HD-14</t>
  </si>
  <si>
    <t>150-YA-21</t>
  </si>
  <si>
    <t>BẢNG GIÁ XE</t>
  </si>
  <si>
    <t>MÃ XE</t>
  </si>
  <si>
    <t>PHÂN PHỐI</t>
  </si>
  <si>
    <t>HD</t>
  </si>
  <si>
    <t>YA</t>
  </si>
  <si>
    <t>SU</t>
  </si>
  <si>
    <t>Suzuki</t>
  </si>
  <si>
    <t>Yamaha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</si>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</sst>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1" xfId="0" applyFont="1" applyBorder="1"/>
    <xf numFmtId="14" fontId="1" fillId="0" borderId="1" xfId="0" applyNumberFormat="1" applyFont="1" applyBorder="1"/>
    <xf numFmtId="3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16" sqref="D16"/>
    </sheetView>
  </sheetViews>
  <sheetFormatPr defaultRowHeight="16.8" x14ac:dyDescent="0.3"/>
  <cols>
    <col min="1" max="1" width="18.88671875" style="1" customWidth="1"/>
    <col min="2" max="2" width="13.6640625" style="1" customWidth="1"/>
    <col min="3" max="3" width="16.44140625" style="1" customWidth="1"/>
    <col min="4" max="4" width="15.33203125" style="1" customWidth="1"/>
    <col min="5" max="5" width="12.5546875" style="1" customWidth="1"/>
    <col min="6" max="6" width="10.77734375" style="1" customWidth="1"/>
    <col min="7" max="7" width="15.109375" style="1" customWidth="1"/>
    <col min="8" max="8" width="8.88671875" style="1"/>
    <col min="9" max="9" width="13.77734375" style="1" customWidth="1"/>
    <col min="10" max="16384" width="8.88671875" style="1"/>
  </cols>
  <sheetData>
    <row r="1" spans="1:9" x14ac:dyDescent="0.3">
      <c r="A1" s="18" t="s">
        <v>0</v>
      </c>
      <c r="B1" s="19"/>
      <c r="C1" s="19"/>
      <c r="D1" s="19"/>
      <c r="E1" s="19"/>
      <c r="F1" s="19"/>
      <c r="G1" s="19"/>
    </row>
    <row r="2" spans="1:9" ht="35.4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I2" s="14" t="s">
        <v>3</v>
      </c>
    </row>
    <row r="3" spans="1:9" x14ac:dyDescent="0.3">
      <c r="A3" s="6">
        <v>1</v>
      </c>
      <c r="B3" s="6" t="s">
        <v>8</v>
      </c>
      <c r="C3" s="5" t="str">
        <f>HLOOKUP(LEFT(B3,2),$A$11:$D$14,2,0)</f>
        <v>Cà phê</v>
      </c>
      <c r="D3" s="6">
        <v>50</v>
      </c>
      <c r="E3" s="5">
        <f>INDEX($B$13:$D$14,MATCH(RIGHT(B3,1),$A$13:$A$14,0),MATCH(C3,$B$12:$D$12,0))</f>
        <v>450</v>
      </c>
      <c r="F3" s="5">
        <f>IF(AND(RIGHT(B3,1)="X",D3&gt;=30),E3*D3*10%,0)</f>
        <v>0</v>
      </c>
      <c r="G3" s="5">
        <f>D3*E3-F3</f>
        <v>22500</v>
      </c>
      <c r="I3" s="13" t="s">
        <v>20</v>
      </c>
    </row>
    <row r="4" spans="1:9" x14ac:dyDescent="0.3">
      <c r="A4" s="6">
        <v>2</v>
      </c>
      <c r="B4" s="6" t="s">
        <v>9</v>
      </c>
      <c r="C4" s="5" t="str">
        <f t="shared" ref="C4:C8" si="0">HLOOKUP(LEFT(B4,2),$A$11:$D$14,2,0)</f>
        <v>Gạo</v>
      </c>
      <c r="D4" s="6">
        <v>40</v>
      </c>
      <c r="E4" s="5">
        <f t="shared" ref="E4:E8" si="1">INDEX($B$13:$D$14,MATCH(RIGHT(B4,1),$A$13:$A$14,0),MATCH(C4,$B$12:$D$12,0))</f>
        <v>400</v>
      </c>
      <c r="F4" s="5">
        <f t="shared" ref="F4:F8" si="2">IF(AND(RIGHT(B4,1)="X",D4&gt;=30),E4*D4*10%,0)</f>
        <v>1600</v>
      </c>
      <c r="G4" s="5">
        <f t="shared" ref="G4:G8" si="3">D4*E4-F4</f>
        <v>14400</v>
      </c>
    </row>
    <row r="5" spans="1:9" x14ac:dyDescent="0.3">
      <c r="A5" s="6">
        <v>3</v>
      </c>
      <c r="B5" s="6" t="s">
        <v>10</v>
      </c>
      <c r="C5" s="5" t="str">
        <f t="shared" si="0"/>
        <v>Đường</v>
      </c>
      <c r="D5" s="6">
        <v>45</v>
      </c>
      <c r="E5" s="5">
        <f t="shared" si="1"/>
        <v>300</v>
      </c>
      <c r="F5" s="5">
        <f t="shared" si="2"/>
        <v>0</v>
      </c>
      <c r="G5" s="5">
        <f t="shared" si="3"/>
        <v>13500</v>
      </c>
    </row>
    <row r="6" spans="1:9" x14ac:dyDescent="0.3">
      <c r="A6" s="6">
        <v>4</v>
      </c>
      <c r="B6" s="6" t="s">
        <v>11</v>
      </c>
      <c r="C6" s="5" t="str">
        <f t="shared" si="0"/>
        <v>Cà phê</v>
      </c>
      <c r="D6" s="6">
        <v>35</v>
      </c>
      <c r="E6" s="5">
        <f t="shared" si="1"/>
        <v>500</v>
      </c>
      <c r="F6" s="5">
        <f t="shared" si="2"/>
        <v>1750</v>
      </c>
      <c r="G6" s="5">
        <f t="shared" si="3"/>
        <v>15750</v>
      </c>
    </row>
    <row r="7" spans="1:9" x14ac:dyDescent="0.3">
      <c r="A7" s="6">
        <v>5</v>
      </c>
      <c r="B7" s="6" t="s">
        <v>12</v>
      </c>
      <c r="C7" s="5" t="str">
        <f t="shared" si="0"/>
        <v>Gạo</v>
      </c>
      <c r="D7" s="6">
        <v>60</v>
      </c>
      <c r="E7" s="5">
        <f t="shared" si="1"/>
        <v>350</v>
      </c>
      <c r="F7" s="5">
        <f t="shared" si="2"/>
        <v>0</v>
      </c>
      <c r="G7" s="5">
        <f t="shared" si="3"/>
        <v>21000</v>
      </c>
    </row>
    <row r="8" spans="1:9" x14ac:dyDescent="0.3">
      <c r="A8" s="6">
        <v>6</v>
      </c>
      <c r="B8" s="6" t="s">
        <v>13</v>
      </c>
      <c r="C8" s="5" t="str">
        <f t="shared" si="0"/>
        <v>Đường</v>
      </c>
      <c r="D8" s="6">
        <v>20</v>
      </c>
      <c r="E8" s="5">
        <f t="shared" si="1"/>
        <v>350</v>
      </c>
      <c r="F8" s="5">
        <f t="shared" si="2"/>
        <v>0</v>
      </c>
      <c r="G8" s="5">
        <f t="shared" si="3"/>
        <v>7000</v>
      </c>
    </row>
    <row r="10" spans="1:9" x14ac:dyDescent="0.3">
      <c r="A10" s="18" t="s">
        <v>14</v>
      </c>
      <c r="B10" s="18"/>
      <c r="C10" s="18"/>
      <c r="D10" s="18"/>
    </row>
    <row r="11" spans="1:9" x14ac:dyDescent="0.3">
      <c r="A11" s="7" t="s">
        <v>15</v>
      </c>
      <c r="B11" s="8" t="s">
        <v>16</v>
      </c>
      <c r="C11" s="8" t="s">
        <v>17</v>
      </c>
      <c r="D11" s="8" t="s">
        <v>18</v>
      </c>
    </row>
    <row r="12" spans="1:9" ht="60.6" customHeight="1" x14ac:dyDescent="0.3">
      <c r="A12" s="9" t="s">
        <v>22</v>
      </c>
      <c r="B12" s="8" t="s">
        <v>21</v>
      </c>
      <c r="C12" s="8" t="s">
        <v>20</v>
      </c>
      <c r="D12" s="8" t="s">
        <v>19</v>
      </c>
    </row>
    <row r="13" spans="1:9" x14ac:dyDescent="0.3">
      <c r="A13" s="12" t="s">
        <v>23</v>
      </c>
      <c r="B13" s="10">
        <v>500</v>
      </c>
      <c r="C13" s="11">
        <v>400</v>
      </c>
      <c r="D13" s="11">
        <v>350</v>
      </c>
    </row>
    <row r="14" spans="1:9" x14ac:dyDescent="0.3">
      <c r="A14" s="12" t="s">
        <v>24</v>
      </c>
      <c r="B14" s="11">
        <v>450</v>
      </c>
      <c r="C14" s="11">
        <v>350</v>
      </c>
      <c r="D14" s="11">
        <v>300</v>
      </c>
    </row>
    <row r="16" spans="1:9" x14ac:dyDescent="0.3">
      <c r="A16" s="19" t="s">
        <v>25</v>
      </c>
      <c r="B16" s="19"/>
      <c r="C16" s="19"/>
      <c r="D16" s="1" t="e">
        <f>DCOUNT(A2:G8,"SỐ LƯỢNG",I2:I3)</f>
        <v>#VALUE!</v>
      </c>
    </row>
  </sheetData>
  <mergeCells count="3">
    <mergeCell ref="A1:G1"/>
    <mergeCell ref="A10:D10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6" sqref="D6"/>
    </sheetView>
  </sheetViews>
  <sheetFormatPr defaultRowHeight="16.8" x14ac:dyDescent="0.3"/>
  <cols>
    <col min="1" max="1" width="10.6640625" style="1" customWidth="1"/>
    <col min="2" max="2" width="19.21875" style="1" customWidth="1"/>
    <col min="3" max="3" width="18" style="1" customWidth="1"/>
    <col min="4" max="4" width="14.44140625" style="1" customWidth="1"/>
    <col min="5" max="5" width="16.6640625" style="1" customWidth="1"/>
    <col min="6" max="6" width="15.88671875" style="1" customWidth="1"/>
    <col min="7" max="7" width="18.6640625" style="1" customWidth="1"/>
    <col min="8" max="16384" width="8.88671875" style="1"/>
  </cols>
  <sheetData>
    <row r="1" spans="1:7" x14ac:dyDescent="0.3">
      <c r="A1" s="20" t="s">
        <v>26</v>
      </c>
      <c r="B1" s="21"/>
      <c r="C1" s="21"/>
      <c r="D1" s="21"/>
      <c r="E1" s="21"/>
      <c r="F1" s="21"/>
      <c r="G1" s="21"/>
    </row>
    <row r="2" spans="1:7" s="2" customFormat="1" x14ac:dyDescent="0.3">
      <c r="A2" s="3" t="s">
        <v>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</row>
    <row r="3" spans="1:7" x14ac:dyDescent="0.3">
      <c r="A3" s="15">
        <v>1</v>
      </c>
      <c r="B3" s="5" t="s">
        <v>33</v>
      </c>
      <c r="C3" s="5" t="str">
        <f>VLOOKUP(MID(B3,FIND("-",B3)+1,2),$A$11:$B$15,2,0)</f>
        <v>Honda</v>
      </c>
      <c r="D3" s="5">
        <f>INDEX($C$13:$E$15,MATCH(MID(B3,5,2),$A$13:$A$15,0),MATCH(VALUE(LEFT(B3,3)),$C$12:$E$12,0))</f>
        <v>30000000</v>
      </c>
      <c r="E3" s="16">
        <v>45174</v>
      </c>
      <c r="F3" s="5">
        <f>VALUE(RIGHT(B3,2))</f>
        <v>12</v>
      </c>
      <c r="G3" s="5"/>
    </row>
    <row r="4" spans="1:7" x14ac:dyDescent="0.3">
      <c r="A4" s="15">
        <v>2</v>
      </c>
      <c r="B4" s="5" t="s">
        <v>34</v>
      </c>
      <c r="C4" s="5" t="str">
        <f t="shared" ref="C4:C8" si="0">VLOOKUP(MID(B4,FIND("-",B4)+1,2),$A$11:$B$15,2,0)</f>
        <v>Yamaha</v>
      </c>
      <c r="D4" s="5">
        <f t="shared" ref="D4:D8" si="1">INDEX($C$13:$E$15,MATCH(MID(B4,5,2),$A$13:$A$15,0),MATCH(VALUE(LEFT(B4,3)),$C$12:$E$12,0))</f>
        <v>30000000</v>
      </c>
      <c r="E4" s="16">
        <v>45149</v>
      </c>
      <c r="F4" s="5">
        <f t="shared" ref="F4:F8" si="2">VALUE(RIGHT(B4,2))</f>
        <v>22</v>
      </c>
      <c r="G4" s="5"/>
    </row>
    <row r="5" spans="1:7" x14ac:dyDescent="0.3">
      <c r="A5" s="15">
        <v>3</v>
      </c>
      <c r="B5" s="5" t="s">
        <v>35</v>
      </c>
      <c r="C5" s="5" t="str">
        <f t="shared" si="0"/>
        <v>Yamaha</v>
      </c>
      <c r="D5" s="5">
        <f t="shared" si="1"/>
        <v>38000000</v>
      </c>
      <c r="E5" s="16">
        <v>45204</v>
      </c>
      <c r="F5" s="5">
        <f t="shared" si="2"/>
        <v>25</v>
      </c>
      <c r="G5" s="5"/>
    </row>
    <row r="6" spans="1:7" x14ac:dyDescent="0.3">
      <c r="A6" s="15">
        <v>4</v>
      </c>
      <c r="B6" s="5" t="s">
        <v>36</v>
      </c>
      <c r="C6" s="5" t="str">
        <f t="shared" si="0"/>
        <v>Suzuki</v>
      </c>
      <c r="D6" s="5">
        <f t="shared" si="1"/>
        <v>31000000</v>
      </c>
      <c r="E6" s="16">
        <v>45209</v>
      </c>
      <c r="F6" s="5">
        <f t="shared" si="2"/>
        <v>20</v>
      </c>
      <c r="G6" s="5"/>
    </row>
    <row r="7" spans="1:7" x14ac:dyDescent="0.3">
      <c r="A7" s="15">
        <v>5</v>
      </c>
      <c r="B7" s="5" t="s">
        <v>37</v>
      </c>
      <c r="C7" s="5" t="str">
        <f t="shared" si="0"/>
        <v>Honda</v>
      </c>
      <c r="D7" s="5">
        <f t="shared" si="1"/>
        <v>37000000</v>
      </c>
      <c r="E7" s="16">
        <v>45125</v>
      </c>
      <c r="F7" s="5">
        <f t="shared" si="2"/>
        <v>14</v>
      </c>
      <c r="G7" s="5"/>
    </row>
    <row r="8" spans="1:7" x14ac:dyDescent="0.3">
      <c r="A8" s="15">
        <v>6</v>
      </c>
      <c r="B8" s="5" t="s">
        <v>38</v>
      </c>
      <c r="C8" s="5" t="str">
        <f t="shared" si="0"/>
        <v>Yamaha</v>
      </c>
      <c r="D8" s="5">
        <f>INDEX($C$13:$E$15,MATCH(MID(B8,5,2),$A$13:$A$15,0),MATCH(VALUE(LEFT(B8,3)),$C$12:$E$12,0))</f>
        <v>38000000</v>
      </c>
      <c r="E8" s="16">
        <v>45166</v>
      </c>
      <c r="F8" s="5">
        <f t="shared" si="2"/>
        <v>21</v>
      </c>
      <c r="G8" s="5"/>
    </row>
    <row r="10" spans="1:7" x14ac:dyDescent="0.3">
      <c r="A10" s="20" t="s">
        <v>39</v>
      </c>
      <c r="B10" s="20"/>
    </row>
    <row r="11" spans="1:7" x14ac:dyDescent="0.3">
      <c r="A11" s="22" t="s">
        <v>40</v>
      </c>
      <c r="B11" s="22" t="s">
        <v>28</v>
      </c>
      <c r="C11" s="23" t="s">
        <v>41</v>
      </c>
      <c r="D11" s="23"/>
      <c r="E11" s="23"/>
    </row>
    <row r="12" spans="1:7" x14ac:dyDescent="0.3">
      <c r="A12" s="22"/>
      <c r="B12" s="22"/>
      <c r="C12" s="7">
        <v>110</v>
      </c>
      <c r="D12" s="7">
        <v>125</v>
      </c>
      <c r="E12" s="7">
        <v>150</v>
      </c>
    </row>
    <row r="13" spans="1:7" x14ac:dyDescent="0.3">
      <c r="A13" s="5" t="s">
        <v>42</v>
      </c>
      <c r="B13" s="5" t="s">
        <v>47</v>
      </c>
      <c r="C13" s="17">
        <v>25000000</v>
      </c>
      <c r="D13" s="17">
        <v>30000000</v>
      </c>
      <c r="E13" s="17">
        <v>37000000</v>
      </c>
    </row>
    <row r="14" spans="1:7" x14ac:dyDescent="0.3">
      <c r="A14" s="5" t="s">
        <v>43</v>
      </c>
      <c r="B14" s="5" t="s">
        <v>46</v>
      </c>
      <c r="C14" s="17">
        <v>30000000</v>
      </c>
      <c r="D14" s="17">
        <v>33000000</v>
      </c>
      <c r="E14" s="17">
        <v>38000000</v>
      </c>
    </row>
    <row r="15" spans="1:7" x14ac:dyDescent="0.3">
      <c r="A15" s="5" t="s">
        <v>44</v>
      </c>
      <c r="B15" s="5" t="s">
        <v>45</v>
      </c>
      <c r="C15" s="17">
        <v>31000000</v>
      </c>
      <c r="D15" s="17">
        <v>35000000</v>
      </c>
      <c r="E15" s="17">
        <v>40000000</v>
      </c>
    </row>
  </sheetData>
  <mergeCells count="5">
    <mergeCell ref="A1:G1"/>
    <mergeCell ref="A10:B10"/>
    <mergeCell ref="A11:A12"/>
    <mergeCell ref="B11:B12"/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đề 3</vt:lpstr>
      <vt:lpstr>đề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anh</dc:creator>
  <cp:lastModifiedBy>LENOVO</cp:lastModifiedBy>
  <dcterms:created xsi:type="dcterms:W3CDTF">2025-09-28T07:22:31Z</dcterms:created>
  <dcterms:modified xsi:type="dcterms:W3CDTF">2025-09-28T09:13:20Z</dcterms:modified>
</cp:coreProperties>
</file>